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el" sheetId="2" state="visible" r:id="rId2"/>
    <sheet name="Inputs" sheetId="3" state="visible" r:id="rId3"/>
    <sheet name="Customers" sheetId="4" state="visible" r:id="rId4"/>
    <sheet name="Scratch" sheetId="5" state="hidden" r:id="rId5"/>
  </sheets>
  <definedNames>
    <definedName name="Growth">Inputs!$B$4</definedName>
    <definedName name="GrossMargin">Inputs!$B$5</definedName>
    <definedName name="Inflation">Inputs!$B$7</definedName>
    <definedName name="TaxRate">Inputs!$B$8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Finance</author>
  </authors>
  <commentList>
    <comment ref="B4" authorId="0" shapeId="0">
      <text>
        <t>Board plan, March 2025</t>
      </text>
    </comment>
  </commentList>
</comments>
</file>

<file path=xl/tables/table1.xml><?xml version="1.0" encoding="utf-8"?>
<table xmlns="http://schemas.openxmlformats.org/spreadsheetml/2006/main" id="1" name="Customers" displayName="Customers" ref="A1:C6" headerRowCount="1">
  <autoFilter ref="A1:C6"/>
  <tableColumns count="3">
    <tableColumn id="1" name="Customer"/>
    <tableColumn id="2" name="Region"/>
    <tableColumn id="3" name="Revenue FY2024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Trading: summary</t>
        </is>
      </c>
    </row>
    <row r="3">
      <c r="A3" t="inlineStr">
        <is>
          <t>Metric</t>
        </is>
      </c>
      <c r="B3" t="inlineStr">
        <is>
          <t>FY2027</t>
        </is>
      </c>
      <c r="C3" t="inlineStr">
        <is>
          <t>Growth a year from FY2024</t>
        </is>
      </c>
      <c r="D3" t="inlineStr">
        <is>
          <t>Total FY2024 to FY2027</t>
        </is>
      </c>
    </row>
    <row r="4">
      <c r="A4" t="inlineStr">
        <is>
          <t>Revenue</t>
        </is>
      </c>
      <c r="B4" s="1">
        <f>Model!E4</f>
        <v>1597.2000000000003</v>
      </c>
      <c r="C4" s="2">
        <f>(Model!E4/Model!B4)^(1/3)-1</f>
        <v>0.10000000000000009</v>
      </c>
      <c r="D4" s="1">
        <f>SUM(Model!B4:E4)</f>
        <v>5569.200000000001</v>
      </c>
    </row>
    <row r="5">
      <c r="A5" t="inlineStr">
        <is>
          <t>EBIT</t>
        </is>
      </c>
      <c r="B5" s="1">
        <f>Model!E8</f>
        <v>332.07863000000003</v>
      </c>
      <c r="C5" s="2">
        <f>(Model!E8/Model!B8)^(1/3)-1</f>
        <v>0.19622552808793503</v>
      </c>
      <c r="D5" s="1">
        <f>SUM(Model!B8:E8)</f>
        <v>1042.1396300000001</v>
      </c>
    </row>
    <row r="6">
      <c r="A6" t="inlineStr">
        <is>
          <t>Net income</t>
        </is>
      </c>
      <c r="B6" s="1">
        <f>Model!E12</f>
        <v>249.05897250000004</v>
      </c>
      <c r="C6" s="2">
        <f>(Model!E12/Model!B12)^(1/3)-1</f>
        <v>0.19622552808793503</v>
      </c>
      <c r="D6" s="1">
        <f>SUM(Model!B12:E12)</f>
        <v>781.6047225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Trading: operating model</t>
        </is>
      </c>
    </row>
    <row r="3">
      <c r="A3" t="inlineStr">
        <is>
          <t>£k</t>
        </is>
      </c>
      <c r="B3" t="inlineStr">
        <is>
          <t>FY2024</t>
        </is>
      </c>
      <c r="C3" t="inlineStr">
        <is>
          <t>FY2025</t>
        </is>
      </c>
      <c r="D3" t="inlineStr">
        <is>
          <t>FY2026</t>
        </is>
      </c>
      <c r="E3" t="inlineStr">
        <is>
          <t>FY2027</t>
        </is>
      </c>
    </row>
    <row r="4">
      <c r="A4" t="inlineStr">
        <is>
          <t>Revenue</t>
        </is>
      </c>
      <c r="B4" s="1">
        <f>SUM(Customers[Revenue FY2024])</f>
        <v>1200</v>
      </c>
      <c r="C4" s="1">
        <f>B4*(1+Growth)</f>
        <v>1320.0</v>
      </c>
      <c r="D4" s="1">
        <f>C4*(1+Growth)</f>
        <v>1452.0000000000002</v>
      </c>
      <c r="E4" s="1">
        <f>D4*(1+Growth)</f>
        <v>1597.2000000000003</v>
      </c>
    </row>
    <row r="5">
      <c r="A5" t="inlineStr">
        <is>
          <t>Growth</t>
        </is>
      </c>
      <c r="C5" s="2">
        <f>C4/B4-1</f>
        <v>0.10000000000000009</v>
      </c>
      <c r="D5" s="2">
        <f>D4/C4-1</f>
        <v>0.10000000000000009</v>
      </c>
      <c r="E5" s="2">
        <f>E4/D4-1</f>
        <v>0.10000000000000009</v>
      </c>
    </row>
    <row r="6">
      <c r="A6" t="inlineStr">
        <is>
          <t>Gross profit</t>
        </is>
      </c>
      <c r="B6" s="1">
        <f>B4*GrossMargin</f>
        <v>504.0</v>
      </c>
      <c r="C6" s="1">
        <f>C4*GrossMargin</f>
        <v>554.4</v>
      </c>
      <c r="D6" s="1">
        <f>D4*GrossMargin</f>
        <v>609.84</v>
      </c>
      <c r="E6" s="1">
        <f>E4*GrossMargin</f>
        <v>670.8240000000001</v>
      </c>
    </row>
    <row r="7">
      <c r="A7" t="inlineStr">
        <is>
          <t>Operating costs</t>
        </is>
      </c>
      <c r="B7" s="1">
        <f>Inputs!B6</f>
        <v>310</v>
      </c>
      <c r="C7" s="1">
        <f>B7*(1+Inflation)</f>
        <v>319.3</v>
      </c>
      <c r="D7" s="1">
        <f>C7*(1+Inflation)</f>
        <v>328.879</v>
      </c>
      <c r="E7" s="1">
        <f>D7*(1+Inflation)</f>
        <v>338.74537000000004</v>
      </c>
    </row>
    <row r="8">
      <c r="A8" t="inlineStr">
        <is>
          <t>EBIT</t>
        </is>
      </c>
      <c r="B8" s="1">
        <f>B6-B7</f>
        <v>194.0</v>
      </c>
      <c r="C8" s="1">
        <f>C6-C7</f>
        <v>235.09999999999997</v>
      </c>
      <c r="D8" s="1">
        <f>D6-D7</f>
        <v>280.961</v>
      </c>
      <c r="E8" s="1">
        <f>E6-E7</f>
        <v>332.07863000000003</v>
      </c>
    </row>
    <row r="9">
      <c r="A9" t="inlineStr">
        <is>
          <t>EBIT margin</t>
        </is>
      </c>
      <c r="B9" s="2">
        <f>B8/B4</f>
        <v>0.16166666666666665</v>
      </c>
      <c r="C9" s="2">
        <f>C8/C4</f>
        <v>0.17810606060606057</v>
      </c>
      <c r="D9" s="2">
        <f>D8/D4</f>
        <v>0.19349931129476583</v>
      </c>
      <c r="E9" s="2">
        <f>E8/E4</f>
        <v>0.2079129914850989</v>
      </c>
    </row>
    <row r="11">
      <c r="A11" t="inlineStr">
        <is>
          <t>Tax</t>
        </is>
      </c>
      <c r="B11" s="1">
        <f>-B8*TaxRate</f>
        <v>-48.5</v>
      </c>
      <c r="C11" s="1">
        <f>-C8*TaxRate</f>
        <v>-58.77499999999999</v>
      </c>
      <c r="D11" s="1">
        <f>-D8*TaxRate</f>
        <v>-70.24025</v>
      </c>
      <c r="E11" s="1">
        <f>-E8*TaxRate</f>
        <v>-83.01965750000001</v>
      </c>
    </row>
    <row r="12">
      <c r="A12" t="inlineStr">
        <is>
          <t>Net income</t>
        </is>
      </c>
      <c r="B12" s="1">
        <f>B8+B11</f>
        <v>145.5</v>
      </c>
      <c r="C12" s="1">
        <f>C8+C11</f>
        <v>176.325</v>
      </c>
      <c r="D12" s="1">
        <f>D8+D11</f>
        <v>210.72075</v>
      </c>
      <c r="E12" s="1">
        <f>E8+E11</f>
        <v>249.05897250000004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Trading: assumptions</t>
        </is>
      </c>
    </row>
    <row r="3">
      <c r="A3" t="inlineStr">
        <is>
          <t>Assumption</t>
        </is>
      </c>
      <c r="B3" t="inlineStr">
        <is>
          <t>Value</t>
        </is>
      </c>
      <c r="C3" t="inlineStr">
        <is>
          <t>Unit</t>
        </is>
      </c>
    </row>
    <row r="4">
      <c r="A4" t="inlineStr">
        <is>
          <t>Revenue growth</t>
        </is>
      </c>
      <c r="B4" s="2" t="n">
        <v>0.1</v>
      </c>
      <c r="C4" t="inlineStr">
        <is>
          <t>a year</t>
        </is>
      </c>
    </row>
    <row r="5">
      <c r="A5" t="inlineStr">
        <is>
          <t>Gross margin</t>
        </is>
      </c>
      <c r="B5" s="2" t="n">
        <v>0.42</v>
      </c>
      <c r="C5" t="inlineStr">
        <is>
          <t>of revenue</t>
        </is>
      </c>
    </row>
    <row r="6">
      <c r="A6" t="inlineStr">
        <is>
          <t>Operating costs FY2024</t>
        </is>
      </c>
      <c r="B6" s="1" t="n">
        <v>310</v>
      </c>
      <c r="C6" t="inlineStr">
        <is>
          <t>£k</t>
        </is>
      </c>
    </row>
    <row r="7">
      <c r="A7" t="inlineStr">
        <is>
          <t>Cost inflation</t>
        </is>
      </c>
      <c r="B7" s="2" t="n">
        <v>0.03</v>
      </c>
      <c r="C7" t="inlineStr">
        <is>
          <t>a year</t>
        </is>
      </c>
    </row>
    <row r="8">
      <c r="A8" t="inlineStr">
        <is>
          <t>Tax rate</t>
        </is>
      </c>
      <c r="B8" s="3" t="n">
        <v>0.25</v>
      </c>
      <c r="C8" t="inlineStr">
        <is>
          <t>of EBIT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Region</t>
        </is>
      </c>
      <c r="C1" t="inlineStr">
        <is>
          <t>Revenue FY2024</t>
        </is>
      </c>
    </row>
    <row r="2">
      <c r="A2" t="inlineStr">
        <is>
          <t>Alder Foods</t>
        </is>
      </c>
      <c r="B2" t="inlineStr">
        <is>
          <t>North</t>
        </is>
      </c>
      <c r="C2" t="n">
        <v>310</v>
      </c>
    </row>
    <row r="3">
      <c r="A3" t="inlineStr">
        <is>
          <t>Birch Retail</t>
        </is>
      </c>
      <c r="B3" t="inlineStr">
        <is>
          <t>South</t>
        </is>
      </c>
      <c r="C3" t="n">
        <v>285</v>
      </c>
    </row>
    <row r="4">
      <c r="A4" t="inlineStr">
        <is>
          <t>Cedar Hotels</t>
        </is>
      </c>
      <c r="B4" t="inlineStr">
        <is>
          <t>North</t>
        </is>
      </c>
      <c r="C4" t="n">
        <v>240</v>
      </c>
    </row>
    <row r="5">
      <c r="A5" t="inlineStr">
        <is>
          <t>Damson Cafés</t>
        </is>
      </c>
      <c r="B5" t="inlineStr">
        <is>
          <t>West</t>
        </is>
      </c>
      <c r="C5" t="n">
        <v>205</v>
      </c>
    </row>
    <row r="6">
      <c r="A6" t="inlineStr">
        <is>
          <t>Elm Wholesale</t>
        </is>
      </c>
      <c r="B6" t="inlineStr">
        <is>
          <t>South</t>
        </is>
      </c>
      <c r="C6" t="n">
        <v>160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scenario, not used</t>
        </is>
      </c>
    </row>
    <row r="2">
      <c r="A2" t="inlineStr">
        <is>
          <t>Revenue growth</t>
        </is>
      </c>
      <c r="B2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2026-10-12T21:34:52Z</dcterms:created>
  <dcterms:modified xsi:type="dcterms:W3CDTF">2026-10-12T21:34:52Z</dcterms:modified>
</cp:coreProperties>
</file>